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4" documentId="11_D92E74AE9826241E4F057481AC1E9C625320E3C3" xr6:coauthVersionLast="47" xr6:coauthVersionMax="47" xr10:uidLastSave="{0B966CA8-D071-40C1-B144-5151CC4A6113}"/>
  <bookViews>
    <workbookView xWindow="-103" yWindow="-103" windowWidth="26537" windowHeight="15943" activeTab="1" xr2:uid="{00000000-000D-0000-FFFF-FFFF00000000}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" l="1"/>
  <c r="L35" i="1"/>
  <c r="A35" i="1"/>
  <c r="L34" i="1"/>
  <c r="A34" i="1"/>
  <c r="L33" i="1"/>
  <c r="A33" i="1"/>
  <c r="L32" i="1"/>
  <c r="A32" i="1"/>
  <c r="L31" i="1"/>
  <c r="A31" i="1"/>
  <c r="L30" i="1"/>
  <c r="A30" i="1"/>
  <c r="L29" i="1"/>
  <c r="A29" i="1"/>
  <c r="L28" i="1"/>
  <c r="A28" i="1"/>
  <c r="L27" i="1"/>
  <c r="A27" i="1"/>
  <c r="L26" i="1"/>
  <c r="A26" i="1"/>
  <c r="L25" i="1"/>
  <c r="A25" i="1"/>
  <c r="L24" i="1"/>
  <c r="A24" i="1"/>
  <c r="L23" i="1"/>
  <c r="A23" i="1"/>
  <c r="L22" i="1"/>
  <c r="A22" i="1"/>
  <c r="L21" i="1"/>
  <c r="A21" i="1"/>
  <c r="L20" i="1"/>
  <c r="A20" i="1"/>
  <c r="L19" i="1"/>
  <c r="A19" i="1"/>
  <c r="L18" i="1"/>
  <c r="A18" i="1"/>
  <c r="L17" i="1"/>
  <c r="A17" i="1"/>
  <c r="L16" i="1"/>
  <c r="A16" i="1"/>
  <c r="L15" i="1"/>
  <c r="A15" i="1"/>
  <c r="L14" i="1"/>
  <c r="A14" i="1"/>
  <c r="L13" i="1"/>
  <c r="A13" i="1"/>
  <c r="L12" i="1"/>
  <c r="A12" i="1"/>
  <c r="L11" i="1"/>
  <c r="A11" i="1"/>
  <c r="L10" i="1"/>
  <c r="A10" i="1"/>
  <c r="L9" i="1"/>
  <c r="A9" i="1"/>
  <c r="L8" i="1"/>
  <c r="A8" i="1"/>
  <c r="L7" i="1"/>
  <c r="B36" i="1" s="1"/>
  <c r="A7" i="1"/>
</calcChain>
</file>

<file path=xl/sharedStrings.xml><?xml version="1.0" encoding="utf-8"?>
<sst xmlns="http://schemas.openxmlformats.org/spreadsheetml/2006/main" count="333" uniqueCount="177">
  <si>
    <t/>
  </si>
  <si>
    <t xml:space="preserve">Bill of Materials </t>
  </si>
  <si>
    <t>Project Title：</t>
  </si>
  <si>
    <t>ESP32 ROR Controller (v3)</t>
  </si>
  <si>
    <t>Variant:</t>
  </si>
  <si>
    <t xml:space="preserve"> </t>
  </si>
  <si>
    <t>Report Time：</t>
  </si>
  <si>
    <t>2026年1月10日 8:54:36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</si>
  <si>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</si>
  <si>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</si>
  <si>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</si>
  <si>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</si>
  <si>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</si>
  <si>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</si>
  <si>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</si>
  <si>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</si>
  <si>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</si>
  <si>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</si>
  <si>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</si>
  <si>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</si>
  <si>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220uF</t>
  </si>
  <si>
    <t>C1, C3</t>
  </si>
  <si>
    <t>CAP-TH_BD8.0-P3.50-D0.5-FD</t>
  </si>
  <si>
    <t>220uF35V8x12KM</t>
  </si>
  <si>
    <t>Econd(米朗电子)</t>
  </si>
  <si>
    <t>C49304872</t>
  </si>
  <si>
    <t>LCSC</t>
  </si>
  <si>
    <t>10uF</t>
  </si>
  <si>
    <t>C2</t>
  </si>
  <si>
    <t>C0805</t>
  </si>
  <si>
    <t>C0805X106K010T</t>
  </si>
  <si>
    <t>IHHEC(禾伸堂)</t>
  </si>
  <si>
    <t>C340314</t>
  </si>
  <si>
    <t>22uF</t>
  </si>
  <si>
    <t>C4</t>
  </si>
  <si>
    <t>CL21A226MAYNNNE</t>
  </si>
  <si>
    <t>SAMSUNG(三星)</t>
  </si>
  <si>
    <t>C602037</t>
  </si>
  <si>
    <t>100nF</t>
  </si>
  <si>
    <t>C5</t>
  </si>
  <si>
    <t>C0805X104K101TB</t>
  </si>
  <si>
    <t>C495959</t>
  </si>
  <si>
    <t>DSK24</t>
  </si>
  <si>
    <t>D1</t>
  </si>
  <si>
    <t>SOD-123_L2.8-W1.8-LS3.7-RD</t>
  </si>
  <si>
    <t>JUXING(钜兴)</t>
  </si>
  <si>
    <t>C3033296</t>
  </si>
  <si>
    <t>1N4148</t>
  </si>
  <si>
    <t>D2, D3, D4</t>
  </si>
  <si>
    <t>DO-35_BD2.2-L4.0-D0.50_1N4148</t>
  </si>
  <si>
    <t>LJ(朗捷)</t>
  </si>
  <si>
    <t>C18195411</t>
  </si>
  <si>
    <t>SM712</t>
  </si>
  <si>
    <t>D5</t>
  </si>
  <si>
    <t>SOT-23_L2.9-W1.3-P1.90-LS2.4-BR</t>
  </si>
  <si>
    <t>TDSEMIC(拓电半导体)</t>
  </si>
  <si>
    <t>C46956321</t>
  </si>
  <si>
    <t>1N4148W</t>
  </si>
  <si>
    <t>D6</t>
  </si>
  <si>
    <t>SOD-123_L2.7-W1.6-LS3.7-FD</t>
  </si>
  <si>
    <t>R+O(宏嘉诚)</t>
  </si>
  <si>
    <t>C7420318</t>
  </si>
  <si>
    <t>0466002.NRHF</t>
  </si>
  <si>
    <t>F1</t>
  </si>
  <si>
    <t>F1206</t>
  </si>
  <si>
    <t>Littelfuse(美国力特)</t>
  </si>
  <si>
    <t>C3105</t>
  </si>
  <si>
    <t>XY-PM254-1-22P-Z-8.5</t>
  </si>
  <si>
    <t>H1, H2</t>
  </si>
  <si>
    <t>HDR-TH_22P-P2.54-V-F</t>
  </si>
  <si>
    <t>XYECONN(辛译)</t>
  </si>
  <si>
    <t>C53200741</t>
  </si>
  <si>
    <t>2.54-1x6P直针</t>
  </si>
  <si>
    <t>H3, H4, H5, SNOW</t>
  </si>
  <si>
    <t>HDR-TH_6P-P2.54-V-M-1</t>
  </si>
  <si>
    <t>BOOMELE(博穆精密)</t>
  </si>
  <si>
    <t>C37208</t>
  </si>
  <si>
    <t>2.54-1*3P针</t>
  </si>
  <si>
    <t>H6</t>
  </si>
  <si>
    <t>HDR-TH_3P-P2.54-V-M-1</t>
  </si>
  <si>
    <t>C49257</t>
  </si>
  <si>
    <t>PZ254V-11-04P</t>
  </si>
  <si>
    <t>I2C-EXT, INVERTER</t>
  </si>
  <si>
    <t>HDR-TH_4P-P2.54-V-M</t>
  </si>
  <si>
    <t>XFCN(兴飞)</t>
  </si>
  <si>
    <t>C492403</t>
  </si>
  <si>
    <t>PZ254V-11-02P</t>
  </si>
  <si>
    <t>INV_RLY, INV_TGL, LED1, OPENER, PARK, RST1</t>
  </si>
  <si>
    <t>HDR-TH_2P-P2.54-V-M</t>
  </si>
  <si>
    <t>C492401</t>
  </si>
  <si>
    <t>0K</t>
  </si>
  <si>
    <t>J1</t>
  </si>
  <si>
    <t>R0201</t>
  </si>
  <si>
    <t>C5380290</t>
  </si>
  <si>
    <t>HFD4/3</t>
  </si>
  <si>
    <t>K1, K2, K3</t>
  </si>
  <si>
    <t>RELAY-TH_HFD4-3</t>
  </si>
  <si>
    <t>HF(宏发)</t>
  </si>
  <si>
    <t>C119084</t>
  </si>
  <si>
    <t>NCD0805R1</t>
  </si>
  <si>
    <t>LED3</t>
  </si>
  <si>
    <t>LED0805-R-RD</t>
  </si>
  <si>
    <t>国星光电</t>
  </si>
  <si>
    <t>C84256</t>
  </si>
  <si>
    <t>DB301V-5.0-2P-BU-S</t>
  </si>
  <si>
    <t>PARK_SENSOR, PWR</t>
  </si>
  <si>
    <t>CONN-TH_2P-P5.00_L7.6-W10.0</t>
  </si>
  <si>
    <t>DORABO(地博电气)</t>
  </si>
  <si>
    <t>C395882</t>
  </si>
  <si>
    <t>5.1kΩ</t>
  </si>
  <si>
    <t>R1, R3, R5</t>
  </si>
  <si>
    <t>R0805</t>
  </si>
  <si>
    <t>0805W8F5101T5E</t>
  </si>
  <si>
    <t>UNI-ROYAL(厚声)</t>
  </si>
  <si>
    <t>C27834</t>
  </si>
  <si>
    <t>10kΩ</t>
  </si>
  <si>
    <t>R2, R8, R9, R13</t>
  </si>
  <si>
    <t>0805W8F1002T5E</t>
  </si>
  <si>
    <t>C17414</t>
  </si>
  <si>
    <t>47kΩ</t>
  </si>
  <si>
    <t>R4, R6, R7</t>
  </si>
  <si>
    <t>0805W8F4702T5E</t>
  </si>
  <si>
    <t>C17713</t>
  </si>
  <si>
    <t>1kΩ</t>
  </si>
  <si>
    <t>R10</t>
  </si>
  <si>
    <t>CR0805J80102G</t>
  </si>
  <si>
    <t>LIZ(丽智电子)</t>
  </si>
  <si>
    <t>C101925</t>
  </si>
  <si>
    <t>120Ω</t>
  </si>
  <si>
    <t>R14</t>
  </si>
  <si>
    <t>0805W8F1200T5E</t>
  </si>
  <si>
    <t>C17437</t>
  </si>
  <si>
    <t>DB301V-5.0-3P-BU-P</t>
  </si>
  <si>
    <t>RG9_RAIN</t>
  </si>
  <si>
    <t>CONN-TH_3P-P5.00_DB301V-5.0-3P-BU-P</t>
  </si>
  <si>
    <t>C430620</t>
  </si>
  <si>
    <t>DB301V-5.0-4P-BU-S</t>
  </si>
  <si>
    <t>ROOF_LIMITS, ROOF_OPENER</t>
  </si>
  <si>
    <t>CONN-TH_4P-P5.00_DB301V-5.0-4P-BU-S</t>
  </si>
  <si>
    <t>C3034542</t>
  </si>
  <si>
    <t>RS601HL-1010011BB</t>
  </si>
  <si>
    <t>SW1</t>
  </si>
  <si>
    <t>SW-TH_RS601HL-1010011BB</t>
  </si>
  <si>
    <t>HCTL(华灿天禄)</t>
  </si>
  <si>
    <t>C2885782</t>
  </si>
  <si>
    <t>K7805-2000R3</t>
  </si>
  <si>
    <t>U1</t>
  </si>
  <si>
    <t>PWRM-TH_K78XX-2000R3</t>
  </si>
  <si>
    <t>RLT(瑞率特)</t>
  </si>
  <si>
    <t>C48888165</t>
  </si>
  <si>
    <t>PC817C</t>
  </si>
  <si>
    <t>U2</t>
  </si>
  <si>
    <t>DIP-4_L4.6-W6.5-P2.54-LS7.6-BL</t>
  </si>
  <si>
    <t>KTP(科泰普)</t>
  </si>
  <si>
    <t>C20612449</t>
  </si>
  <si>
    <t>MAX3485ED</t>
  </si>
  <si>
    <t>U4</t>
  </si>
  <si>
    <t>SOP-8_L4.9-W3.9-P1.27-LS6.0-BL</t>
  </si>
  <si>
    <t>HTC</t>
  </si>
  <si>
    <t>C558792</t>
  </si>
  <si>
    <t>Project Title</t>
  </si>
  <si>
    <t>Borard Title</t>
  </si>
  <si>
    <t>Schematic Title</t>
  </si>
  <si>
    <t>PCB Title</t>
  </si>
  <si>
    <t>Variant Name</t>
  </si>
  <si>
    <t>Total Quantity</t>
  </si>
  <si>
    <t>Report Time</t>
  </si>
  <si>
    <t>8:54:36</t>
  </si>
  <si>
    <t>Report Date</t>
  </si>
  <si>
    <t>2026年1月10日</t>
  </si>
  <si>
    <t>Report Date&amp;Time</t>
  </si>
  <si>
    <t>File Name</t>
  </si>
  <si>
    <t>Filter Option</t>
  </si>
  <si>
    <t xml:space="preserve">Add into BOM:no; </t>
  </si>
  <si>
    <t>BOM_Board_v3.0_Schematic_v3.0_2026-01-10</t>
  </si>
  <si>
    <t>Schematic_v3.0</t>
  </si>
  <si>
    <t>Board_v3.0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</si>
</sst>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¥#,##0.00;\¥\-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workbookViewId="0">
      <selection activeCell="F3" sqref="F3"/>
    </sheetView>
  </sheetViews>
  <sheetFormatPr defaultColWidth="9" defaultRowHeight="14.25" customHeight="1" x14ac:dyDescent="0.4"/>
  <cols>
    <col min="1" max="1" width="16.23046875" customWidth="1"/>
    <col min="2" max="2" width="17.15234375" customWidth="1"/>
    <col min="3" max="3" width="18" customWidth="1"/>
    <col min="4" max="4" width="15.23046875" customWidth="1"/>
    <col min="5" max="5" width="13.15234375" customWidth="1"/>
    <col min="6" max="6" width="13.23046875" customWidth="1"/>
    <col min="7" max="7" width="14.3828125" customWidth="1"/>
    <col min="8" max="8" width="16.84375" customWidth="1"/>
    <col min="9" max="9" width="13.3828125" customWidth="1"/>
    <col min="10" max="10" width="14.3828125" customWidth="1"/>
    <col min="11" max="11" width="10.23046875" customWidth="1"/>
  </cols>
  <sheetData>
    <row r="1" spans="1:12" ht="14.25" customHeight="1" x14ac:dyDescent="0.4">
      <c r="A1" s="9" t="s">
        <v>0</v>
      </c>
      <c r="B1" s="9"/>
      <c r="C1" s="9"/>
      <c r="D1" s="9"/>
      <c r="E1" s="10" t="s">
        <v>1</v>
      </c>
      <c r="F1" s="10" t="s">
        <v>174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1" t="s">
        <v>0</v>
      </c>
    </row>
    <row r="2" spans="1:12" ht="14.25" customHeight="1" x14ac:dyDescent="0.4">
      <c r="A2" s="9"/>
      <c r="B2" s="9"/>
      <c r="C2" s="9"/>
      <c r="D2" s="9"/>
      <c r="E2" s="10"/>
      <c r="F2" s="10"/>
      <c r="G2" t="s">
        <v>0</v>
      </c>
      <c r="H2" t="s">
        <v>0</v>
      </c>
      <c r="I2" t="s">
        <v>0</v>
      </c>
      <c r="J2" t="s">
        <v>0</v>
      </c>
      <c r="K2" t="s">
        <v>0</v>
      </c>
      <c r="L2" s="1" t="s">
        <v>0</v>
      </c>
    </row>
    <row r="3" spans="1:12" ht="14.25" customHeight="1" x14ac:dyDescent="0.45">
      <c r="A3" s="9"/>
      <c r="B3" s="9"/>
      <c r="C3" s="9"/>
      <c r="D3" s="9"/>
      <c r="E3" s="2" t="s">
        <v>2</v>
      </c>
      <c r="F3" t="s">
        <v>3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1" t="s">
        <v>0</v>
      </c>
    </row>
    <row r="4" spans="1:12" ht="14.25" customHeight="1" x14ac:dyDescent="0.45">
      <c r="A4" s="9"/>
      <c r="B4" s="9"/>
      <c r="C4" s="9"/>
      <c r="D4" s="9"/>
      <c r="E4" s="2" t="s">
        <v>4</v>
      </c>
      <c r="F4" t="s">
        <v>5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1" t="s">
        <v>0</v>
      </c>
    </row>
    <row r="5" spans="1:12" ht="14.25" customHeight="1" x14ac:dyDescent="0.45">
      <c r="A5" s="9"/>
      <c r="B5" s="9"/>
      <c r="C5" s="9"/>
      <c r="D5" s="9"/>
      <c r="E5" s="2" t="s">
        <v>6</v>
      </c>
      <c r="F5" t="s">
        <v>7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3" t="s">
        <v>0</v>
      </c>
    </row>
    <row r="6" spans="1:12" ht="14.25" customHeight="1" x14ac:dyDescent="0.4">
      <c r="A6" s="4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</row>
    <row r="7" spans="1:12" ht="14.25" customHeight="1" x14ac:dyDescent="0.4">
      <c r="A7" s="6">
        <f t="shared" ref="A7:A36" si="0">ROW()-6</f>
        <v>1</v>
      </c>
      <c r="B7" s="7">
        <v>2</v>
      </c>
      <c r="C7" s="7" t="s">
        <v>20</v>
      </c>
      <c r="D7" s="7" t="s">
        <v>21</v>
      </c>
      <c r="E7" s="7" t="s">
        <v>22</v>
      </c>
      <c r="F7" s="7" t="s">
        <v>20</v>
      </c>
      <c r="G7" s="7" t="s">
        <v>23</v>
      </c>
      <c r="H7" s="7" t="s">
        <v>24</v>
      </c>
      <c r="I7" s="7" t="s">
        <v>25</v>
      </c>
      <c r="J7" s="7" t="s">
        <v>26</v>
      </c>
      <c r="K7" s="7" t="s">
        <v>0</v>
      </c>
      <c r="L7" s="8" t="e">
        <f t="shared" ref="L7:L35" si="1">B7*K7</f>
        <v>#VALUE!</v>
      </c>
    </row>
    <row r="8" spans="1:12" ht="14.25" customHeight="1" x14ac:dyDescent="0.4">
      <c r="A8" s="6">
        <f t="shared" si="0"/>
        <v>2</v>
      </c>
      <c r="B8" s="7">
        <v>1</v>
      </c>
      <c r="C8" s="7" t="s">
        <v>27</v>
      </c>
      <c r="D8" s="7" t="s">
        <v>28</v>
      </c>
      <c r="E8" s="7" t="s">
        <v>29</v>
      </c>
      <c r="F8" s="7" t="s">
        <v>27</v>
      </c>
      <c r="G8" s="7" t="s">
        <v>30</v>
      </c>
      <c r="H8" s="7" t="s">
        <v>31</v>
      </c>
      <c r="I8" s="7" t="s">
        <v>32</v>
      </c>
      <c r="J8" s="7" t="s">
        <v>26</v>
      </c>
      <c r="K8" s="7" t="s">
        <v>0</v>
      </c>
      <c r="L8" s="8" t="e">
        <f t="shared" si="1"/>
        <v>#VALUE!</v>
      </c>
    </row>
    <row r="9" spans="1:12" ht="14.25" customHeight="1" x14ac:dyDescent="0.4">
      <c r="A9" s="6">
        <f t="shared" si="0"/>
        <v>3</v>
      </c>
      <c r="B9" s="7">
        <v>1</v>
      </c>
      <c r="C9" s="7" t="s">
        <v>33</v>
      </c>
      <c r="D9" s="7" t="s">
        <v>34</v>
      </c>
      <c r="E9" s="7" t="s">
        <v>29</v>
      </c>
      <c r="F9" s="7" t="s">
        <v>33</v>
      </c>
      <c r="G9" s="7" t="s">
        <v>35</v>
      </c>
      <c r="H9" s="7" t="s">
        <v>36</v>
      </c>
      <c r="I9" s="7" t="s">
        <v>37</v>
      </c>
      <c r="J9" s="7" t="s">
        <v>26</v>
      </c>
      <c r="K9" s="7" t="s">
        <v>0</v>
      </c>
      <c r="L9" s="8" t="e">
        <f t="shared" si="1"/>
        <v>#VALUE!</v>
      </c>
    </row>
    <row r="10" spans="1:12" ht="14.25" customHeight="1" x14ac:dyDescent="0.4">
      <c r="A10" s="6">
        <f t="shared" si="0"/>
        <v>4</v>
      </c>
      <c r="B10" s="7">
        <v>1</v>
      </c>
      <c r="C10" s="7" t="s">
        <v>38</v>
      </c>
      <c r="D10" s="7" t="s">
        <v>39</v>
      </c>
      <c r="E10" s="7" t="s">
        <v>29</v>
      </c>
      <c r="F10" s="7" t="s">
        <v>38</v>
      </c>
      <c r="G10" s="7" t="s">
        <v>40</v>
      </c>
      <c r="H10" s="7" t="s">
        <v>31</v>
      </c>
      <c r="I10" s="7" t="s">
        <v>41</v>
      </c>
      <c r="J10" s="7" t="s">
        <v>26</v>
      </c>
      <c r="K10" s="7" t="s">
        <v>0</v>
      </c>
      <c r="L10" s="8" t="e">
        <f t="shared" si="1"/>
        <v>#VALUE!</v>
      </c>
    </row>
    <row r="11" spans="1:12" ht="14.25" customHeight="1" x14ac:dyDescent="0.4">
      <c r="A11" s="6">
        <f t="shared" si="0"/>
        <v>5</v>
      </c>
      <c r="B11" s="7">
        <v>1</v>
      </c>
      <c r="C11" s="7" t="s">
        <v>42</v>
      </c>
      <c r="D11" s="7" t="s">
        <v>43</v>
      </c>
      <c r="E11" s="7" t="s">
        <v>44</v>
      </c>
      <c r="F11" s="7" t="s">
        <v>0</v>
      </c>
      <c r="G11" s="7" t="s">
        <v>42</v>
      </c>
      <c r="H11" s="7" t="s">
        <v>45</v>
      </c>
      <c r="I11" s="7" t="s">
        <v>46</v>
      </c>
      <c r="J11" s="7" t="s">
        <v>26</v>
      </c>
      <c r="K11" s="7" t="s">
        <v>0</v>
      </c>
      <c r="L11" s="8" t="e">
        <f t="shared" si="1"/>
        <v>#VALUE!</v>
      </c>
    </row>
    <row r="12" spans="1:12" ht="14.25" customHeight="1" x14ac:dyDescent="0.4">
      <c r="A12" s="6">
        <f t="shared" si="0"/>
        <v>6</v>
      </c>
      <c r="B12" s="7">
        <v>3</v>
      </c>
      <c r="C12" s="7" t="s">
        <v>47</v>
      </c>
      <c r="D12" s="7" t="s">
        <v>48</v>
      </c>
      <c r="E12" s="7" t="s">
        <v>49</v>
      </c>
      <c r="F12" s="7" t="s">
        <v>0</v>
      </c>
      <c r="G12" s="7" t="s">
        <v>47</v>
      </c>
      <c r="H12" s="7" t="s">
        <v>50</v>
      </c>
      <c r="I12" s="7" t="s">
        <v>51</v>
      </c>
      <c r="J12" s="7" t="s">
        <v>26</v>
      </c>
      <c r="K12" s="7" t="s">
        <v>0</v>
      </c>
      <c r="L12" s="8" t="e">
        <f t="shared" si="1"/>
        <v>#VALUE!</v>
      </c>
    </row>
    <row r="13" spans="1:12" ht="14.25" customHeight="1" x14ac:dyDescent="0.4">
      <c r="A13" s="6">
        <f t="shared" si="0"/>
        <v>7</v>
      </c>
      <c r="B13" s="7">
        <v>1</v>
      </c>
      <c r="C13" s="7" t="s">
        <v>52</v>
      </c>
      <c r="D13" s="7" t="s">
        <v>53</v>
      </c>
      <c r="E13" s="7" t="s">
        <v>54</v>
      </c>
      <c r="F13" s="7" t="s">
        <v>0</v>
      </c>
      <c r="G13" s="7" t="s">
        <v>52</v>
      </c>
      <c r="H13" s="7" t="s">
        <v>55</v>
      </c>
      <c r="I13" s="7" t="s">
        <v>56</v>
      </c>
      <c r="J13" s="7" t="s">
        <v>26</v>
      </c>
      <c r="K13" s="7" t="s">
        <v>0</v>
      </c>
      <c r="L13" s="8" t="e">
        <f t="shared" si="1"/>
        <v>#VALUE!</v>
      </c>
    </row>
    <row r="14" spans="1:12" ht="14.25" customHeight="1" x14ac:dyDescent="0.4">
      <c r="A14" s="6">
        <f t="shared" si="0"/>
        <v>8</v>
      </c>
      <c r="B14" s="7">
        <v>1</v>
      </c>
      <c r="C14" s="7" t="s">
        <v>57</v>
      </c>
      <c r="D14" s="7" t="s">
        <v>58</v>
      </c>
      <c r="E14" s="7" t="s">
        <v>59</v>
      </c>
      <c r="F14" s="7" t="s">
        <v>0</v>
      </c>
      <c r="G14" s="7" t="s">
        <v>57</v>
      </c>
      <c r="H14" s="7" t="s">
        <v>60</v>
      </c>
      <c r="I14" s="7" t="s">
        <v>61</v>
      </c>
      <c r="J14" s="7" t="s">
        <v>26</v>
      </c>
      <c r="K14" s="7" t="s">
        <v>0</v>
      </c>
      <c r="L14" s="8" t="e">
        <f t="shared" si="1"/>
        <v>#VALUE!</v>
      </c>
    </row>
    <row r="15" spans="1:12" ht="14.25" customHeight="1" x14ac:dyDescent="0.4">
      <c r="A15" s="6">
        <f t="shared" si="0"/>
        <v>9</v>
      </c>
      <c r="B15" s="7">
        <v>1</v>
      </c>
      <c r="C15" s="7" t="s">
        <v>62</v>
      </c>
      <c r="D15" s="7" t="s">
        <v>63</v>
      </c>
      <c r="E15" s="7" t="s">
        <v>64</v>
      </c>
      <c r="F15" s="7" t="s">
        <v>0</v>
      </c>
      <c r="G15" s="7" t="s">
        <v>62</v>
      </c>
      <c r="H15" s="7" t="s">
        <v>65</v>
      </c>
      <c r="I15" s="7" t="s">
        <v>66</v>
      </c>
      <c r="J15" s="7" t="s">
        <v>26</v>
      </c>
      <c r="K15" s="7" t="s">
        <v>0</v>
      </c>
      <c r="L15" s="8" t="e">
        <f t="shared" si="1"/>
        <v>#VALUE!</v>
      </c>
    </row>
    <row r="16" spans="1:12" ht="14.25" customHeight="1" x14ac:dyDescent="0.4">
      <c r="A16" s="6">
        <f t="shared" si="0"/>
        <v>10</v>
      </c>
      <c r="B16" s="7">
        <v>2</v>
      </c>
      <c r="C16" s="7" t="s">
        <v>67</v>
      </c>
      <c r="D16" s="7" t="s">
        <v>68</v>
      </c>
      <c r="E16" s="7" t="s">
        <v>69</v>
      </c>
      <c r="F16" s="7" t="s">
        <v>0</v>
      </c>
      <c r="G16" s="7" t="s">
        <v>67</v>
      </c>
      <c r="H16" s="7" t="s">
        <v>70</v>
      </c>
      <c r="I16" s="7" t="s">
        <v>71</v>
      </c>
      <c r="J16" s="7" t="s">
        <v>26</v>
      </c>
      <c r="K16" s="7" t="s">
        <v>0</v>
      </c>
      <c r="L16" s="8" t="e">
        <f t="shared" si="1"/>
        <v>#VALUE!</v>
      </c>
    </row>
    <row r="17" spans="1:12" ht="14.25" customHeight="1" x14ac:dyDescent="0.4">
      <c r="A17" s="6">
        <f t="shared" si="0"/>
        <v>11</v>
      </c>
      <c r="B17" s="7">
        <v>4</v>
      </c>
      <c r="C17" s="7" t="s">
        <v>72</v>
      </c>
      <c r="D17" s="7" t="s">
        <v>73</v>
      </c>
      <c r="E17" s="7" t="s">
        <v>74</v>
      </c>
      <c r="F17" s="7" t="s">
        <v>0</v>
      </c>
      <c r="G17" s="7" t="s">
        <v>72</v>
      </c>
      <c r="H17" s="7" t="s">
        <v>75</v>
      </c>
      <c r="I17" s="7" t="s">
        <v>76</v>
      </c>
      <c r="J17" s="7" t="s">
        <v>26</v>
      </c>
      <c r="K17" s="7" t="s">
        <v>0</v>
      </c>
      <c r="L17" s="8" t="e">
        <f t="shared" si="1"/>
        <v>#VALUE!</v>
      </c>
    </row>
    <row r="18" spans="1:12" ht="14.25" customHeight="1" x14ac:dyDescent="0.4">
      <c r="A18" s="6">
        <f t="shared" si="0"/>
        <v>12</v>
      </c>
      <c r="B18" s="7">
        <v>1</v>
      </c>
      <c r="C18" s="7" t="s">
        <v>77</v>
      </c>
      <c r="D18" s="7" t="s">
        <v>78</v>
      </c>
      <c r="E18" s="7" t="s">
        <v>79</v>
      </c>
      <c r="F18" s="7" t="s">
        <v>0</v>
      </c>
      <c r="G18" s="7" t="s">
        <v>77</v>
      </c>
      <c r="H18" s="7" t="s">
        <v>75</v>
      </c>
      <c r="I18" s="7" t="s">
        <v>80</v>
      </c>
      <c r="J18" s="7" t="s">
        <v>26</v>
      </c>
      <c r="K18" s="7" t="s">
        <v>0</v>
      </c>
      <c r="L18" s="8" t="e">
        <f t="shared" si="1"/>
        <v>#VALUE!</v>
      </c>
    </row>
    <row r="19" spans="1:12" ht="14.25" customHeight="1" x14ac:dyDescent="0.4">
      <c r="A19" s="6">
        <f t="shared" si="0"/>
        <v>13</v>
      </c>
      <c r="B19" s="7">
        <v>2</v>
      </c>
      <c r="C19" s="7" t="s">
        <v>81</v>
      </c>
      <c r="D19" s="7" t="s">
        <v>82</v>
      </c>
      <c r="E19" s="7" t="s">
        <v>83</v>
      </c>
      <c r="F19" s="7" t="s">
        <v>0</v>
      </c>
      <c r="G19" s="7" t="s">
        <v>81</v>
      </c>
      <c r="H19" s="7" t="s">
        <v>84</v>
      </c>
      <c r="I19" s="7" t="s">
        <v>85</v>
      </c>
      <c r="J19" s="7" t="s">
        <v>26</v>
      </c>
      <c r="K19" s="7" t="s">
        <v>0</v>
      </c>
      <c r="L19" s="8" t="e">
        <f t="shared" si="1"/>
        <v>#VALUE!</v>
      </c>
    </row>
    <row r="20" spans="1:12" ht="14.25" customHeight="1" x14ac:dyDescent="0.4">
      <c r="A20" s="6">
        <f t="shared" si="0"/>
        <v>14</v>
      </c>
      <c r="B20" s="7">
        <v>6</v>
      </c>
      <c r="C20" s="7" t="s">
        <v>86</v>
      </c>
      <c r="D20" s="7" t="s">
        <v>87</v>
      </c>
      <c r="E20" s="7" t="s">
        <v>88</v>
      </c>
      <c r="F20" s="7" t="s">
        <v>0</v>
      </c>
      <c r="G20" s="7" t="s">
        <v>86</v>
      </c>
      <c r="H20" s="7" t="s">
        <v>84</v>
      </c>
      <c r="I20" s="7" t="s">
        <v>89</v>
      </c>
      <c r="J20" s="7" t="s">
        <v>26</v>
      </c>
      <c r="K20" s="7" t="s">
        <v>0</v>
      </c>
      <c r="L20" s="8" t="e">
        <f t="shared" si="1"/>
        <v>#VALUE!</v>
      </c>
    </row>
    <row r="21" spans="1:12" ht="14.25" customHeight="1" x14ac:dyDescent="0.4">
      <c r="A21" s="6">
        <f t="shared" si="0"/>
        <v>15</v>
      </c>
      <c r="B21" s="7">
        <v>1</v>
      </c>
      <c r="C21" s="7" t="s">
        <v>90</v>
      </c>
      <c r="D21" s="7" t="s">
        <v>91</v>
      </c>
      <c r="E21" s="7" t="s">
        <v>92</v>
      </c>
      <c r="F21" s="7" t="s">
        <v>90</v>
      </c>
      <c r="G21" s="7" t="s">
        <v>0</v>
      </c>
      <c r="H21" s="7" t="s">
        <v>0</v>
      </c>
      <c r="I21" s="7" t="s">
        <v>93</v>
      </c>
      <c r="J21" s="7" t="s">
        <v>26</v>
      </c>
      <c r="K21" s="7" t="s">
        <v>0</v>
      </c>
      <c r="L21" s="8" t="e">
        <f t="shared" si="1"/>
        <v>#VALUE!</v>
      </c>
    </row>
    <row r="22" spans="1:12" ht="14.25" customHeight="1" x14ac:dyDescent="0.4">
      <c r="A22" s="6">
        <f t="shared" si="0"/>
        <v>16</v>
      </c>
      <c r="B22" s="7">
        <v>3</v>
      </c>
      <c r="C22" s="7" t="s">
        <v>94</v>
      </c>
      <c r="D22" s="7" t="s">
        <v>95</v>
      </c>
      <c r="E22" s="7" t="s">
        <v>96</v>
      </c>
      <c r="F22" s="7" t="s">
        <v>0</v>
      </c>
      <c r="G22" s="7" t="s">
        <v>94</v>
      </c>
      <c r="H22" s="7" t="s">
        <v>97</v>
      </c>
      <c r="I22" s="7" t="s">
        <v>98</v>
      </c>
      <c r="J22" s="7" t="s">
        <v>26</v>
      </c>
      <c r="K22" s="7" t="s">
        <v>0</v>
      </c>
      <c r="L22" s="8" t="e">
        <f t="shared" si="1"/>
        <v>#VALUE!</v>
      </c>
    </row>
    <row r="23" spans="1:12" ht="14.25" customHeight="1" x14ac:dyDescent="0.4">
      <c r="A23" s="6">
        <f t="shared" si="0"/>
        <v>17</v>
      </c>
      <c r="B23" s="7">
        <v>1</v>
      </c>
      <c r="C23" s="7" t="s">
        <v>99</v>
      </c>
      <c r="D23" s="7" t="s">
        <v>100</v>
      </c>
      <c r="E23" s="7" t="s">
        <v>101</v>
      </c>
      <c r="F23" s="7" t="s">
        <v>0</v>
      </c>
      <c r="G23" s="7" t="s">
        <v>99</v>
      </c>
      <c r="H23" s="7" t="s">
        <v>102</v>
      </c>
      <c r="I23" s="7" t="s">
        <v>103</v>
      </c>
      <c r="J23" s="7" t="s">
        <v>26</v>
      </c>
      <c r="K23" s="7" t="s">
        <v>0</v>
      </c>
      <c r="L23" s="8" t="e">
        <f t="shared" si="1"/>
        <v>#VALUE!</v>
      </c>
    </row>
    <row r="24" spans="1:12" ht="14.25" customHeight="1" x14ac:dyDescent="0.4">
      <c r="A24" s="6">
        <f t="shared" si="0"/>
        <v>18</v>
      </c>
      <c r="B24" s="7">
        <v>2</v>
      </c>
      <c r="C24" s="7" t="s">
        <v>104</v>
      </c>
      <c r="D24" s="7" t="s">
        <v>105</v>
      </c>
      <c r="E24" s="7" t="s">
        <v>106</v>
      </c>
      <c r="F24" s="7" t="s">
        <v>0</v>
      </c>
      <c r="G24" s="7" t="s">
        <v>104</v>
      </c>
      <c r="H24" s="7" t="s">
        <v>107</v>
      </c>
      <c r="I24" s="7" t="s">
        <v>108</v>
      </c>
      <c r="J24" s="7" t="s">
        <v>26</v>
      </c>
      <c r="K24" s="7" t="s">
        <v>0</v>
      </c>
      <c r="L24" s="8" t="e">
        <f t="shared" si="1"/>
        <v>#VALUE!</v>
      </c>
    </row>
    <row r="25" spans="1:12" ht="14.25" customHeight="1" x14ac:dyDescent="0.4">
      <c r="A25" s="6">
        <f t="shared" si="0"/>
        <v>19</v>
      </c>
      <c r="B25" s="7">
        <v>3</v>
      </c>
      <c r="C25" s="7" t="s">
        <v>109</v>
      </c>
      <c r="D25" s="7" t="s">
        <v>110</v>
      </c>
      <c r="E25" s="7" t="s">
        <v>111</v>
      </c>
      <c r="F25" s="7" t="s">
        <v>109</v>
      </c>
      <c r="G25" s="7" t="s">
        <v>112</v>
      </c>
      <c r="H25" s="7" t="s">
        <v>113</v>
      </c>
      <c r="I25" s="7" t="s">
        <v>114</v>
      </c>
      <c r="J25" s="7" t="s">
        <v>26</v>
      </c>
      <c r="K25" s="7" t="s">
        <v>0</v>
      </c>
      <c r="L25" s="8" t="e">
        <f t="shared" si="1"/>
        <v>#VALUE!</v>
      </c>
    </row>
    <row r="26" spans="1:12" ht="14.25" customHeight="1" x14ac:dyDescent="0.4">
      <c r="A26" s="6">
        <f t="shared" si="0"/>
        <v>20</v>
      </c>
      <c r="B26" s="7">
        <v>4</v>
      </c>
      <c r="C26" s="7" t="s">
        <v>115</v>
      </c>
      <c r="D26" s="7" t="s">
        <v>116</v>
      </c>
      <c r="E26" s="7" t="s">
        <v>111</v>
      </c>
      <c r="F26" s="7" t="s">
        <v>115</v>
      </c>
      <c r="G26" s="7" t="s">
        <v>117</v>
      </c>
      <c r="H26" s="7" t="s">
        <v>113</v>
      </c>
      <c r="I26" s="7" t="s">
        <v>118</v>
      </c>
      <c r="J26" s="7" t="s">
        <v>26</v>
      </c>
      <c r="K26" s="7" t="s">
        <v>0</v>
      </c>
      <c r="L26" s="8" t="e">
        <f t="shared" si="1"/>
        <v>#VALUE!</v>
      </c>
    </row>
    <row r="27" spans="1:12" ht="14.25" customHeight="1" x14ac:dyDescent="0.4">
      <c r="A27" s="6">
        <f t="shared" si="0"/>
        <v>21</v>
      </c>
      <c r="B27" s="7">
        <v>3</v>
      </c>
      <c r="C27" s="7" t="s">
        <v>119</v>
      </c>
      <c r="D27" s="7" t="s">
        <v>120</v>
      </c>
      <c r="E27" s="7" t="s">
        <v>111</v>
      </c>
      <c r="F27" s="7" t="s">
        <v>119</v>
      </c>
      <c r="G27" s="7" t="s">
        <v>121</v>
      </c>
      <c r="H27" s="7" t="s">
        <v>113</v>
      </c>
      <c r="I27" s="7" t="s">
        <v>122</v>
      </c>
      <c r="J27" s="7" t="s">
        <v>26</v>
      </c>
      <c r="K27" s="7" t="s">
        <v>0</v>
      </c>
      <c r="L27" s="8" t="e">
        <f t="shared" si="1"/>
        <v>#VALUE!</v>
      </c>
    </row>
    <row r="28" spans="1:12" ht="14.25" customHeight="1" x14ac:dyDescent="0.4">
      <c r="A28" s="6">
        <f t="shared" si="0"/>
        <v>22</v>
      </c>
      <c r="B28" s="7">
        <v>1</v>
      </c>
      <c r="C28" s="7" t="s">
        <v>123</v>
      </c>
      <c r="D28" s="7" t="s">
        <v>124</v>
      </c>
      <c r="E28" s="7" t="s">
        <v>111</v>
      </c>
      <c r="F28" s="7" t="s">
        <v>123</v>
      </c>
      <c r="G28" s="7" t="s">
        <v>125</v>
      </c>
      <c r="H28" s="7" t="s">
        <v>126</v>
      </c>
      <c r="I28" s="7" t="s">
        <v>127</v>
      </c>
      <c r="J28" s="7" t="s">
        <v>26</v>
      </c>
      <c r="K28" s="7" t="s">
        <v>0</v>
      </c>
      <c r="L28" s="8" t="e">
        <f t="shared" si="1"/>
        <v>#VALUE!</v>
      </c>
    </row>
    <row r="29" spans="1:12" ht="14.25" customHeight="1" x14ac:dyDescent="0.4">
      <c r="A29" s="6">
        <f t="shared" si="0"/>
        <v>23</v>
      </c>
      <c r="B29" s="7">
        <v>1</v>
      </c>
      <c r="C29" s="7" t="s">
        <v>128</v>
      </c>
      <c r="D29" s="7" t="s">
        <v>129</v>
      </c>
      <c r="E29" s="7" t="s">
        <v>111</v>
      </c>
      <c r="F29" s="7" t="s">
        <v>128</v>
      </c>
      <c r="G29" s="7" t="s">
        <v>130</v>
      </c>
      <c r="H29" s="7" t="s">
        <v>113</v>
      </c>
      <c r="I29" s="7" t="s">
        <v>131</v>
      </c>
      <c r="J29" s="7" t="s">
        <v>26</v>
      </c>
      <c r="K29" s="7" t="s">
        <v>0</v>
      </c>
      <c r="L29" s="8" t="e">
        <f t="shared" si="1"/>
        <v>#VALUE!</v>
      </c>
    </row>
    <row r="30" spans="1:12" ht="14.25" customHeight="1" x14ac:dyDescent="0.4">
      <c r="A30" s="6">
        <f t="shared" si="0"/>
        <v>24</v>
      </c>
      <c r="B30" s="7">
        <v>1</v>
      </c>
      <c r="C30" s="7" t="s">
        <v>132</v>
      </c>
      <c r="D30" s="7" t="s">
        <v>133</v>
      </c>
      <c r="E30" s="7" t="s">
        <v>134</v>
      </c>
      <c r="F30" s="7" t="s">
        <v>0</v>
      </c>
      <c r="G30" s="7" t="s">
        <v>132</v>
      </c>
      <c r="H30" s="7" t="s">
        <v>107</v>
      </c>
      <c r="I30" s="7" t="s">
        <v>135</v>
      </c>
      <c r="J30" s="7" t="s">
        <v>26</v>
      </c>
      <c r="K30" s="7" t="s">
        <v>0</v>
      </c>
      <c r="L30" s="8" t="e">
        <f t="shared" si="1"/>
        <v>#VALUE!</v>
      </c>
    </row>
    <row r="31" spans="1:12" ht="14.25" customHeight="1" x14ac:dyDescent="0.4">
      <c r="A31" s="6">
        <f t="shared" si="0"/>
        <v>25</v>
      </c>
      <c r="B31" s="7">
        <v>2</v>
      </c>
      <c r="C31" s="7" t="s">
        <v>136</v>
      </c>
      <c r="D31" s="7" t="s">
        <v>137</v>
      </c>
      <c r="E31" s="7" t="s">
        <v>138</v>
      </c>
      <c r="F31" s="7" t="s">
        <v>0</v>
      </c>
      <c r="G31" s="7" t="s">
        <v>136</v>
      </c>
      <c r="H31" s="7" t="s">
        <v>107</v>
      </c>
      <c r="I31" s="7" t="s">
        <v>139</v>
      </c>
      <c r="J31" s="7" t="s">
        <v>26</v>
      </c>
      <c r="K31" s="7" t="s">
        <v>0</v>
      </c>
      <c r="L31" s="8" t="e">
        <f t="shared" si="1"/>
        <v>#VALUE!</v>
      </c>
    </row>
    <row r="32" spans="1:12" ht="14.25" customHeight="1" x14ac:dyDescent="0.4">
      <c r="A32" s="6">
        <f t="shared" si="0"/>
        <v>26</v>
      </c>
      <c r="B32" s="7">
        <v>1</v>
      </c>
      <c r="C32" s="7" t="s">
        <v>140</v>
      </c>
      <c r="D32" s="7" t="s">
        <v>141</v>
      </c>
      <c r="E32" s="7" t="s">
        <v>142</v>
      </c>
      <c r="F32" s="7" t="s">
        <v>0</v>
      </c>
      <c r="G32" s="7" t="s">
        <v>140</v>
      </c>
      <c r="H32" s="7" t="s">
        <v>143</v>
      </c>
      <c r="I32" s="7" t="s">
        <v>144</v>
      </c>
      <c r="J32" s="7" t="s">
        <v>26</v>
      </c>
      <c r="K32" s="7" t="s">
        <v>0</v>
      </c>
      <c r="L32" s="8" t="e">
        <f t="shared" si="1"/>
        <v>#VALUE!</v>
      </c>
    </row>
    <row r="33" spans="1:12" ht="14.25" customHeight="1" x14ac:dyDescent="0.4">
      <c r="A33" s="6">
        <f t="shared" si="0"/>
        <v>27</v>
      </c>
      <c r="B33" s="7">
        <v>1</v>
      </c>
      <c r="C33" s="7" t="s">
        <v>145</v>
      </c>
      <c r="D33" s="7" t="s">
        <v>146</v>
      </c>
      <c r="E33" s="7" t="s">
        <v>147</v>
      </c>
      <c r="F33" s="7" t="s">
        <v>0</v>
      </c>
      <c r="G33" s="7" t="s">
        <v>145</v>
      </c>
      <c r="H33" s="7" t="s">
        <v>148</v>
      </c>
      <c r="I33" s="7" t="s">
        <v>149</v>
      </c>
      <c r="J33" s="7" t="s">
        <v>26</v>
      </c>
      <c r="K33" s="7" t="s">
        <v>0</v>
      </c>
      <c r="L33" s="8" t="e">
        <f t="shared" si="1"/>
        <v>#VALUE!</v>
      </c>
    </row>
    <row r="34" spans="1:12" ht="14.25" customHeight="1" x14ac:dyDescent="0.4">
      <c r="A34" s="6">
        <f t="shared" si="0"/>
        <v>28</v>
      </c>
      <c r="B34" s="7">
        <v>1</v>
      </c>
      <c r="C34" s="7" t="s">
        <v>150</v>
      </c>
      <c r="D34" s="7" t="s">
        <v>151</v>
      </c>
      <c r="E34" s="7" t="s">
        <v>152</v>
      </c>
      <c r="F34" s="7" t="s">
        <v>0</v>
      </c>
      <c r="G34" s="7" t="s">
        <v>150</v>
      </c>
      <c r="H34" s="7" t="s">
        <v>153</v>
      </c>
      <c r="I34" s="7" t="s">
        <v>154</v>
      </c>
      <c r="J34" s="7" t="s">
        <v>26</v>
      </c>
      <c r="K34" s="7" t="s">
        <v>0</v>
      </c>
      <c r="L34" s="8" t="e">
        <f t="shared" si="1"/>
        <v>#VALUE!</v>
      </c>
    </row>
    <row r="35" spans="1:12" ht="14.25" customHeight="1" x14ac:dyDescent="0.4">
      <c r="A35" s="6">
        <f t="shared" si="0"/>
        <v>29</v>
      </c>
      <c r="B35" s="7">
        <v>1</v>
      </c>
      <c r="C35" s="7" t="s">
        <v>155</v>
      </c>
      <c r="D35" s="7" t="s">
        <v>156</v>
      </c>
      <c r="E35" s="7" t="s">
        <v>157</v>
      </c>
      <c r="F35" s="7" t="s">
        <v>0</v>
      </c>
      <c r="G35" s="7" t="s">
        <v>155</v>
      </c>
      <c r="H35" s="7" t="s">
        <v>158</v>
      </c>
      <c r="I35" s="7" t="s">
        <v>159</v>
      </c>
      <c r="J35" s="7" t="s">
        <v>26</v>
      </c>
      <c r="K35" s="7" t="s">
        <v>0</v>
      </c>
      <c r="L35" s="8" t="e">
        <f t="shared" si="1"/>
        <v>#VALUE!</v>
      </c>
    </row>
    <row r="36" spans="1:12" ht="14.25" customHeight="1" x14ac:dyDescent="0.4">
      <c r="A36" s="6">
        <f t="shared" si="0"/>
        <v>30</v>
      </c>
      <c r="B36" s="11" t="e">
        <f>SUM(L7:L35)</f>
        <v>#VALUE!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</row>
  </sheetData>
  <mergeCells count="4">
    <mergeCell ref="A1:D5"/>
    <mergeCell ref="E1:E2"/>
    <mergeCell ref="F1:F2"/>
    <mergeCell ref="B36:L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B3" sqref="B3"/>
    </sheetView>
  </sheetViews>
  <sheetFormatPr defaultColWidth="9" defaultRowHeight="14.25" customHeight="1" x14ac:dyDescent="0.4"/>
  <cols>
    <col min="1" max="1" width="23.61328125" customWidth="1"/>
    <col min="2" max="2" width="57.4609375" customWidth="1"/>
  </cols>
  <sheetData>
    <row r="1" spans="1:2" ht="14.25" customHeight="1" x14ac:dyDescent="0.4">
      <c r="A1" s="4" t="s">
        <v>160</v>
      </c>
      <c r="B1" s="4" t="s">
        <v>3</v>
      </c>
    </row>
    <row r="2" spans="1:2" ht="14.25" customHeight="1" x14ac:dyDescent="0.4">
      <c r="A2" s="4" t="s">
        <v>161</v>
      </c>
      <c r="B2" s="4" t="s">
        <v>176</v>
      </c>
    </row>
    <row r="3" spans="1:2" ht="14.25" customHeight="1" x14ac:dyDescent="0.4">
      <c r="A3" s="4" t="s">
        <v>162</v>
      </c>
      <c r="B3" s="4" t="s">
        <v>175</v>
      </c>
    </row>
    <row r="4" spans="1:2" ht="14.25" customHeight="1" x14ac:dyDescent="0.4">
      <c r="A4" s="4" t="s">
        <v>163</v>
      </c>
      <c r="B4" s="4" t="s">
        <v>5</v>
      </c>
    </row>
    <row r="5" spans="1:2" ht="14.25" customHeight="1" x14ac:dyDescent="0.4">
      <c r="A5" s="4" t="s">
        <v>164</v>
      </c>
      <c r="B5" s="4" t="s">
        <v>5</v>
      </c>
    </row>
    <row r="6" spans="1:2" ht="14.25" customHeight="1" x14ac:dyDescent="0.4">
      <c r="A6" s="4" t="s">
        <v>165</v>
      </c>
      <c r="B6" s="4">
        <v>54</v>
      </c>
    </row>
    <row r="7" spans="1:2" ht="14.25" customHeight="1" x14ac:dyDescent="0.4">
      <c r="A7" s="4" t="s">
        <v>166</v>
      </c>
      <c r="B7" s="4" t="s">
        <v>167</v>
      </c>
    </row>
    <row r="8" spans="1:2" ht="14.25" customHeight="1" x14ac:dyDescent="0.4">
      <c r="A8" s="4" t="s">
        <v>168</v>
      </c>
      <c r="B8" s="4" t="s">
        <v>169</v>
      </c>
    </row>
    <row r="9" spans="1:2" ht="14.25" customHeight="1" x14ac:dyDescent="0.4">
      <c r="A9" s="4" t="s">
        <v>170</v>
      </c>
      <c r="B9" s="4" t="s">
        <v>7</v>
      </c>
    </row>
    <row r="10" spans="1:2" ht="14.25" customHeight="1" x14ac:dyDescent="0.4">
      <c r="A10" s="4" t="s">
        <v>171</v>
      </c>
      <c r="B10" s="4" t="s">
        <v>174</v>
      </c>
    </row>
    <row r="11" spans="1:2" ht="14.25" customHeight="1" x14ac:dyDescent="0.4">
      <c r="A11" s="4" t="s">
        <v>172</v>
      </c>
      <c r="B11" s="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2024-08-02T02:42:32Z</dcterms:created>
  <dcterms:modified xsi:type="dcterms:W3CDTF">2026-01-11T03:56:09Z</dcterms:modified>
  <cp:category/>
</cp:coreProperties>
</file>